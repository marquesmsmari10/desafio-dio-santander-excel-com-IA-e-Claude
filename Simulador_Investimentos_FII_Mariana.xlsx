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dor_Investimentos_FII_Mar" sheetId="1" r:id="rId5"/>
  </sheets>
  <definedNames/>
  <calcPr/>
</workbook>
</file>

<file path=xl/sharedStrings.xml><?xml version="1.0" encoding="utf-8"?>
<sst xmlns="http://schemas.openxmlformats.org/spreadsheetml/2006/main" count="18" uniqueCount="18">
  <si>
    <t>Simulador de Fundos Imobiliários - by Teacher Mariana</t>
  </si>
  <si>
    <t>Parâmetros</t>
  </si>
  <si>
    <t>Valores</t>
  </si>
  <si>
    <t>Investimento Inicial</t>
  </si>
  <si>
    <t>Aporte Mensal</t>
  </si>
  <si>
    <t>Taxa de Rendimento Mensal (%)</t>
  </si>
  <si>
    <t>Prazo (Meses)</t>
  </si>
  <si>
    <t>Resumo dos Resultados</t>
  </si>
  <si>
    <t>Fórmulas</t>
  </si>
  <si>
    <t>Total Investido</t>
  </si>
  <si>
    <t>Patrimônio Acumulado</t>
  </si>
  <si>
    <t>Dividendos Mensais no Final</t>
  </si>
  <si>
    <t>Evolução Mensal (Primeiros 6 meses)</t>
  </si>
  <si>
    <t>Mês</t>
  </si>
  <si>
    <t>Saldo Inicial</t>
  </si>
  <si>
    <t>Rendimento</t>
  </si>
  <si>
    <t>Aporte</t>
  </si>
  <si>
    <t>Saldo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</si>
</sst>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 #,##0.00"/>
    <numFmt numFmtId="165" formatCode="0.00&quot;%&quot;"/>
  </numFmts>
  <fonts count="8">
    <font>
      <sz val="10.0"/>
      <color rgb="FF000000"/>
      <name val="Arial"/>
      <scheme val="minor"/>
    </font>
    <font>
      <b/>
      <sz val="18.0"/>
      <color rgb="FFFFFFFF"/>
      <name val="Arial"/>
    </font>
    <font>
      <b/>
      <sz val="12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/>
    <font>
      <b/>
      <sz val="12.0"/>
      <color rgb="FF0F5131"/>
      <name val="Arial"/>
    </font>
    <font>
      <b/>
      <sz val="12.0"/>
      <color rgb="FF09362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2C4975"/>
        <bgColor rgb="FF2C4975"/>
      </patternFill>
    </fill>
    <fill>
      <patternFill patternType="solid">
        <fgColor rgb="FFC5DFB4"/>
        <bgColor rgb="FFC5DFB4"/>
      </patternFill>
    </fill>
    <fill>
      <patternFill patternType="solid">
        <fgColor rgb="FFE1EFD9"/>
        <bgColor rgb="FFE1EFD9"/>
      </patternFill>
    </fill>
  </fills>
  <borders count="8">
    <border/>
    <border>
      <left style="thin">
        <color rgb="FFCAD4E0"/>
      </left>
      <right style="thin">
        <color rgb="FFCAD4E0"/>
      </right>
      <top style="thin">
        <color rgb="FFCAD4E0"/>
      </top>
      <bottom style="thin">
        <color rgb="FFCAD4E0"/>
      </bottom>
    </border>
    <border>
      <left style="thin">
        <color rgb="FFCAD4E0"/>
      </left>
      <top style="thin">
        <color rgb="FFCAD4E0"/>
      </top>
      <bottom style="thin">
        <color rgb="FFCAD4E0"/>
      </bottom>
    </border>
    <border>
      <top style="thin">
        <color rgb="FFCAD4E0"/>
      </top>
      <bottom style="thin">
        <color rgb="FFCAD4E0"/>
      </bottom>
    </border>
    <border>
      <right style="thin">
        <color rgb="FFCAD4E0"/>
      </right>
      <top style="thin">
        <color rgb="FFCAD4E0"/>
      </top>
      <bottom style="thin">
        <color rgb="FFCAD4E0"/>
      </bottom>
    </border>
    <border>
      <left style="medium">
        <color rgb="FF2D7C31"/>
      </left>
      <right style="medium">
        <color rgb="FF2D7C31"/>
      </right>
      <top style="medium">
        <color rgb="FF2D7C31"/>
      </top>
      <bottom style="thin">
        <color rgb="FFA2D9A4"/>
      </bottom>
    </border>
    <border>
      <left style="medium">
        <color rgb="FF2D7C31"/>
      </left>
      <right style="medium">
        <color rgb="FF2D7C31"/>
      </right>
      <top style="thin">
        <color rgb="FFA2D9A4"/>
      </top>
      <bottom style="thin">
        <color rgb="FFA2D9A4"/>
      </bottom>
    </border>
    <border>
      <left style="medium">
        <color rgb="FF2D7C31"/>
      </left>
      <right style="medium">
        <color rgb="FF2D7C31"/>
      </right>
      <top style="thin">
        <color rgb="FFA2D9A4"/>
      </top>
      <bottom style="medium">
        <color rgb="FF2D7C31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3" numFmtId="0" xfId="0" applyFont="1"/>
    <xf borderId="1" fillId="3" fontId="3" numFmtId="0" xfId="0" applyAlignment="1" applyBorder="1" applyFill="1" applyFont="1">
      <alignment horizontal="left" readingOrder="0" vertical="center"/>
    </xf>
    <xf borderId="1" fillId="3" fontId="3" numFmtId="164" xfId="0" applyAlignment="1" applyBorder="1" applyFill="1" applyFont="1" applyNumberFormat="1">
      <alignment horizontal="right" readingOrder="0" vertical="center"/>
    </xf>
    <xf borderId="1" fillId="4" fontId="3" numFmtId="0" xfId="0" applyAlignment="1" applyBorder="1" applyFill="1" applyFont="1">
      <alignment horizontal="left" readingOrder="0" vertical="center"/>
    </xf>
    <xf borderId="1" fillId="4" fontId="3" numFmtId="164" xfId="0" applyAlignment="1" applyBorder="1" applyFill="1" applyFont="1" applyNumberFormat="1">
      <alignment horizontal="right" readingOrder="0" vertical="center"/>
    </xf>
    <xf borderId="1" fillId="3" fontId="3" numFmtId="165" xfId="0" applyAlignment="1" applyBorder="1" applyFill="1" applyFont="1" applyNumberFormat="1">
      <alignment horizontal="right" readingOrder="0" vertical="center"/>
    </xf>
    <xf borderId="1" fillId="4" fontId="3" numFmtId="3" xfId="0" applyAlignment="1" applyBorder="1" applyFill="1" applyFont="1" applyNumberFormat="1">
      <alignment horizontal="right" readingOrder="0" vertical="center"/>
    </xf>
    <xf borderId="1" fillId="3" fontId="3" numFmtId="164" xfId="0" applyAlignment="1" applyBorder="1" applyFill="1" applyFont="1" applyNumberFormat="1">
      <alignment horizontal="right" vertical="center"/>
    </xf>
    <xf borderId="1" fillId="4" fontId="3" numFmtId="164" xfId="0" applyAlignment="1" applyBorder="1" applyFill="1" applyFont="1" applyNumberFormat="1">
      <alignment horizontal="right" vertical="center"/>
    </xf>
    <xf borderId="1" fillId="3" fontId="4" numFmtId="0" xfId="0" applyAlignment="1" applyBorder="1" applyFill="1" applyFont="1">
      <alignment horizontal="left" readingOrder="0" vertical="center"/>
    </xf>
    <xf borderId="1" fillId="3" fontId="4" numFmtId="164" xfId="0" applyAlignment="1" applyBorder="1" applyFill="1" applyFont="1" applyNumberFormat="1">
      <alignment horizontal="right" vertical="center"/>
    </xf>
    <xf borderId="2" fillId="2" fontId="2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1" fillId="5" fontId="2" numFmtId="0" xfId="0" applyAlignment="1" applyBorder="1" applyFill="1" applyFon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  <xf borderId="5" fillId="6" fontId="6" numFmtId="0" xfId="0" applyAlignment="1" applyBorder="1" applyFill="1" applyFont="1">
      <alignment horizontal="center" readingOrder="0" vertical="center"/>
    </xf>
    <xf borderId="1" fillId="3" fontId="3" numFmtId="1" xfId="0" applyAlignment="1" applyBorder="1" applyFill="1" applyFont="1" applyNumberFormat="1">
      <alignment horizontal="center" readingOrder="0" vertical="center"/>
    </xf>
    <xf borderId="2" fillId="3" fontId="3" numFmtId="164" xfId="0" applyAlignment="1" applyBorder="1" applyFill="1" applyFont="1" applyNumberFormat="1">
      <alignment horizontal="right" vertical="center"/>
    </xf>
    <xf borderId="6" fillId="7" fontId="7" numFmtId="164" xfId="0" applyAlignment="1" applyBorder="1" applyFill="1" applyFont="1" applyNumberFormat="1">
      <alignment horizontal="right" vertical="center"/>
    </xf>
    <xf borderId="1" fillId="4" fontId="3" numFmtId="1" xfId="0" applyAlignment="1" applyBorder="1" applyFill="1" applyFont="1" applyNumberFormat="1">
      <alignment horizontal="center" readingOrder="0" vertical="center"/>
    </xf>
    <xf borderId="2" fillId="4" fontId="3" numFmtId="164" xfId="0" applyAlignment="1" applyBorder="1" applyFill="1" applyFont="1" applyNumberFormat="1">
      <alignment horizontal="right" vertical="center"/>
    </xf>
    <xf borderId="7" fillId="7" fontId="7" numFmtId="164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0.13"/>
    <col customWidth="1" min="3" max="3" width="18.88"/>
    <col customWidth="1" min="4" max="4" width="16.38"/>
    <col customWidth="1" min="5" max="5" width="20.13"/>
  </cols>
  <sheetData>
    <row r="1" ht="33.75" customHeight="1">
      <c r="A1" s="1" t="s">
        <v>0</v>
      </c>
    </row>
    <row r="3" ht="21.0" customHeight="1">
      <c r="A3" s="2" t="s">
        <v>1</v>
      </c>
      <c r="B3" s="2" t="s">
        <v>2</v>
      </c>
      <c r="C3" s="3"/>
      <c r="D3" s="3"/>
      <c r="E3" s="3"/>
    </row>
    <row r="4" ht="21.0" customHeight="1">
      <c r="A4" s="4" t="s">
        <v>3</v>
      </c>
      <c r="B4" s="5">
        <v>10000.0</v>
      </c>
      <c r="C4" s="3"/>
      <c r="D4" s="3"/>
      <c r="E4" s="3"/>
    </row>
    <row r="5" ht="21.0" customHeight="1">
      <c r="A5" s="6" t="s">
        <v>4</v>
      </c>
      <c r="B5" s="7">
        <v>200.0</v>
      </c>
      <c r="C5" s="3"/>
      <c r="D5" s="3"/>
      <c r="E5" s="3"/>
    </row>
    <row r="6" ht="21.0" customHeight="1">
      <c r="A6" s="4" t="s">
        <v>5</v>
      </c>
      <c r="B6" s="8">
        <v>8.0</v>
      </c>
      <c r="C6" s="3"/>
      <c r="D6" s="3"/>
      <c r="E6" s="3"/>
    </row>
    <row r="7" ht="21.0" customHeight="1">
      <c r="A7" s="6" t="s">
        <v>6</v>
      </c>
      <c r="B7" s="9">
        <v>60.0</v>
      </c>
      <c r="C7" s="3"/>
      <c r="D7" s="3"/>
      <c r="E7" s="3"/>
    </row>
    <row r="8" ht="21.0" customHeight="1">
      <c r="A8" s="3"/>
      <c r="B8" s="3"/>
      <c r="C8" s="3"/>
      <c r="D8" s="3"/>
      <c r="E8" s="3"/>
    </row>
    <row r="9" ht="21.0" customHeight="1">
      <c r="A9" s="2" t="s">
        <v>7</v>
      </c>
      <c r="B9" s="2" t="s">
        <v>8</v>
      </c>
      <c r="C9" s="3"/>
      <c r="D9" s="3"/>
      <c r="E9" s="3"/>
    </row>
    <row r="10" ht="21.0" customHeight="1">
      <c r="A10" s="4" t="s">
        <v>9</v>
      </c>
      <c r="B10" s="10">
        <f>B4+(B5*B7)</f>
        <v>22000</v>
      </c>
      <c r="C10" s="3"/>
      <c r="D10" s="3"/>
      <c r="E10" s="3"/>
    </row>
    <row r="11" ht="21.0" customHeight="1">
      <c r="A11" s="6" t="s">
        <v>10</v>
      </c>
      <c r="B11" s="11">
        <f>FV(B6/100, B7, -B5, -B4, 0)</f>
        <v>1263213.296</v>
      </c>
      <c r="C11" s="3"/>
      <c r="D11" s="3"/>
      <c r="E11" s="3"/>
    </row>
    <row r="12" ht="21.0" customHeight="1">
      <c r="A12" s="12" t="s">
        <v>11</v>
      </c>
      <c r="B12" s="13">
        <f>B11*B6</f>
        <v>10105706.37</v>
      </c>
      <c r="C12" s="3"/>
      <c r="D12" s="3"/>
      <c r="E12" s="3"/>
    </row>
    <row r="13">
      <c r="A13" s="3"/>
      <c r="B13" s="3"/>
      <c r="C13" s="3"/>
      <c r="D13" s="3"/>
      <c r="E13" s="3"/>
    </row>
    <row r="14" ht="21.0" customHeight="1">
      <c r="A14" s="14" t="s">
        <v>12</v>
      </c>
      <c r="B14" s="15"/>
      <c r="C14" s="15"/>
      <c r="D14" s="15"/>
      <c r="E14" s="16"/>
    </row>
    <row r="15" ht="21.0" customHeight="1">
      <c r="A15" s="17" t="s">
        <v>13</v>
      </c>
      <c r="B15" s="17" t="s">
        <v>14</v>
      </c>
      <c r="C15" s="17" t="s">
        <v>15</v>
      </c>
      <c r="D15" s="18" t="s">
        <v>16</v>
      </c>
      <c r="E15" s="19" t="s">
        <v>17</v>
      </c>
    </row>
    <row r="16" ht="21.0" customHeight="1">
      <c r="A16" s="20">
        <v>1.0</v>
      </c>
      <c r="B16" s="10">
        <f>B4</f>
        <v>10000</v>
      </c>
      <c r="C16" s="10">
        <f t="shared" ref="C16:C21" si="1">B17*$B$6</f>
        <v>44800</v>
      </c>
      <c r="D16" s="21">
        <f t="shared" ref="D16:D21" si="2">$B$5</f>
        <v>200</v>
      </c>
      <c r="E16" s="22">
        <f t="shared" ref="E16:E21" si="3">B17+C17+D17</f>
        <v>23400</v>
      </c>
    </row>
    <row r="17" ht="21.0" customHeight="1">
      <c r="A17" s="23">
        <v>2.0</v>
      </c>
      <c r="B17" s="11">
        <f t="shared" ref="B17:B21" si="4">E17</f>
        <v>5600</v>
      </c>
      <c r="C17" s="11">
        <f t="shared" si="1"/>
        <v>17600</v>
      </c>
      <c r="D17" s="24">
        <f t="shared" si="2"/>
        <v>200</v>
      </c>
      <c r="E17" s="22">
        <f t="shared" si="3"/>
        <v>5600</v>
      </c>
    </row>
    <row r="18" ht="21.0" customHeight="1">
      <c r="A18" s="20">
        <v>3.0</v>
      </c>
      <c r="B18" s="10">
        <f t="shared" si="4"/>
        <v>2200</v>
      </c>
      <c r="C18" s="10">
        <f t="shared" si="1"/>
        <v>3200</v>
      </c>
      <c r="D18" s="21">
        <f t="shared" si="2"/>
        <v>200</v>
      </c>
      <c r="E18" s="22">
        <f t="shared" si="3"/>
        <v>2200</v>
      </c>
    </row>
    <row r="19" ht="21.0" customHeight="1">
      <c r="A19" s="23">
        <v>4.0</v>
      </c>
      <c r="B19" s="11">
        <f t="shared" si="4"/>
        <v>400</v>
      </c>
      <c r="C19" s="11">
        <f t="shared" si="1"/>
        <v>1600</v>
      </c>
      <c r="D19" s="24">
        <f t="shared" si="2"/>
        <v>200</v>
      </c>
      <c r="E19" s="22">
        <f t="shared" si="3"/>
        <v>400</v>
      </c>
    </row>
    <row r="20" ht="21.0" customHeight="1">
      <c r="A20" s="20">
        <v>5.0</v>
      </c>
      <c r="B20" s="10">
        <f t="shared" si="4"/>
        <v>200</v>
      </c>
      <c r="C20" s="10">
        <f t="shared" si="1"/>
        <v>0</v>
      </c>
      <c r="D20" s="21">
        <f t="shared" si="2"/>
        <v>200</v>
      </c>
      <c r="E20" s="22">
        <f t="shared" si="3"/>
        <v>200</v>
      </c>
    </row>
    <row r="21" ht="21.0" customHeight="1">
      <c r="A21" s="23">
        <v>6.0</v>
      </c>
      <c r="B21" s="11">
        <f t="shared" si="4"/>
        <v>0</v>
      </c>
      <c r="C21" s="11">
        <f t="shared" si="1"/>
        <v>0</v>
      </c>
      <c r="D21" s="24">
        <f t="shared" si="2"/>
        <v>200</v>
      </c>
      <c r="E21" s="25">
        <f t="shared" si="3"/>
        <v>0</v>
      </c>
    </row>
  </sheetData>
  <mergeCells count="2">
    <mergeCell ref="A1:E1"/>
    <mergeCell ref="A14:E14"/>
  </mergeCells>
  <drawing r:id="rId1"/>
</worksheet>
</file>